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nthony/Desktop/CESU 2026 Project/For Real Tho/Frog Papers/Wrap Up/"/>
    </mc:Choice>
  </mc:AlternateContent>
  <xr:revisionPtr revIDLastSave="0" documentId="13_ncr:1_{AC963BBF-3901-7B48-AAC3-E979976560C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Primary Models" sheetId="1" r:id="rId1"/>
    <sheet name="Exploratory Legacy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<sst xmlns="http://schemas.openxmlformats.org/spreadsheetml/2006/main" count="125" uniqueCount="113">
  <si>
    <t>CRLF MARSS Primary PDSI Hypothesis Table — v1.0</t>
  </si>
  <si>
    <t>Primary candidate set: PDSI_PRIMARY_HYPOTHESES_V1. AICc is the primary selection metric. AIC/AICc values shown here are rounded to match the validated console output; use the exact-table R script for manuscript values.</t>
  </si>
  <si>
    <t>AICc Rank</t>
  </si>
  <si>
    <t>Model #</t>
  </si>
  <si>
    <t>Model ID</t>
  </si>
  <si>
    <t>Model Name</t>
  </si>
  <si>
    <t>Covariate(s)</t>
  </si>
  <si>
    <t>Climate / Time Structure</t>
  </si>
  <si>
    <t>Hypothesis</t>
  </si>
  <si>
    <t>K</t>
  </si>
  <si>
    <t>AIC (rounded)</t>
  </si>
  <si>
    <t>AICc (rounded)</t>
  </si>
  <si>
    <t>ΔAICc</t>
  </si>
  <si>
    <t>AICc Weight</t>
  </si>
  <si>
    <t>Collaborator Note</t>
  </si>
  <si>
    <t>P0</t>
  </si>
  <si>
    <t>M0_Null</t>
  </si>
  <si>
    <t>None</t>
  </si>
  <si>
    <t>Null</t>
  </si>
  <si>
    <t>Best supported model in primary candidate set.</t>
  </si>
  <si>
    <t>P2</t>
  </si>
  <si>
    <t>P2_Late_Current</t>
  </si>
  <si>
    <t>Late Jan-Mar Contemporary Year</t>
  </si>
  <si>
    <t>PDSI_JanMar</t>
  </si>
  <si>
    <t>Jan-Mar, t</t>
  </si>
  <si>
    <t>Strongest climate model; ordinary AIC is lower than the null.</t>
  </si>
  <si>
    <t>P6</t>
  </si>
  <si>
    <t>M4_OctDec_RunMean3</t>
  </si>
  <si>
    <t>Early Running 3-Year Mean</t>
  </si>
  <si>
    <t>PDSI_OctDec_RunMean3</t>
  </si>
  <si>
    <t>Oct-Dec, mean(t,t-1,t-2)</t>
  </si>
  <si>
    <t>P7</t>
  </si>
  <si>
    <t>P7_Late_RunMean3</t>
  </si>
  <si>
    <t>Late Running 3-Year Mean</t>
  </si>
  <si>
    <t>PDSI_JanMar_RunMean3</t>
  </si>
  <si>
    <t>Jan-Mar, mean(t,t-1,t-2)</t>
  </si>
  <si>
    <t>P1</t>
  </si>
  <si>
    <t>P1_Early_Current</t>
  </si>
  <si>
    <t>Early Oct-Dec Contemporary Year</t>
  </si>
  <si>
    <t>PDSI_OctDec</t>
  </si>
  <si>
    <t>Oct-Dec, t</t>
  </si>
  <si>
    <t>P4</t>
  </si>
  <si>
    <t>P4_Late_Current_Lag3</t>
  </si>
  <si>
    <t>Late Jan-Mar Contemporary + t-3 Lag</t>
  </si>
  <si>
    <t>PDSI_JanMar | PDSI_JanMar_lag3</t>
  </si>
  <si>
    <t>Jan-Mar, t + t-3</t>
  </si>
  <si>
    <t>Tests current breeding climate plus the separate t-3 cohort/maturity hypothesis.</t>
  </si>
  <si>
    <t>P8</t>
  </si>
  <si>
    <t>P8_Early_RunMean3_Lag3</t>
  </si>
  <si>
    <t>Early Recent 3-Year Mean + t-3 Lag</t>
  </si>
  <si>
    <t>PDSI_OctDec_RunMean3 | PDSI_OctDec_lag3</t>
  </si>
  <si>
    <t>Oct-Dec, mean(t,t-1,t-2) + t-3</t>
  </si>
  <si>
    <t>P9</t>
  </si>
  <si>
    <t>P9_Late_RunMean3_Lag3</t>
  </si>
  <si>
    <t>Late Recent 3-Year Mean + t-3 Lag</t>
  </si>
  <si>
    <t>PDSI_JanMar_RunMean3 | PDSI_JanMar_lag3</t>
  </si>
  <si>
    <t>Jan-Mar, mean(t,t-1,t-2) + t-3</t>
  </si>
  <si>
    <t>P3</t>
  </si>
  <si>
    <t>P3_Early_Current_Lag3</t>
  </si>
  <si>
    <t>Early Oct-Dec Contemporary + t-3 Lag</t>
  </si>
  <si>
    <t>PDSI_OctDec | PDSI_OctDec_lag3</t>
  </si>
  <si>
    <t>Oct-Dec, t + t-3</t>
  </si>
  <si>
    <t>P5</t>
  </si>
  <si>
    <t>M1_Interactive_Direct</t>
  </si>
  <si>
    <t>Early × Late Contemporary</t>
  </si>
  <si>
    <t>PDSI_OctDec | PDSI_JanMar | PDSI_Interact</t>
  </si>
  <si>
    <t>Oct-Dec + Jan-Mar + interaction, t</t>
  </si>
  <si>
    <t>Best raw likelihood among the primary models, but strongly penalized for complexity.</t>
  </si>
  <si>
    <t>Exploratory / Legacy Candidate Set</t>
  </si>
  <si>
    <t>These models are ranked only within PDSI_EXPLORATORY_LEGACY_V1. Do not combine their ΔAICc or Akaike weights with the primary candidate set.</t>
  </si>
  <si>
    <t>E2</t>
  </si>
  <si>
    <t>M3_OctDec_RunMean2</t>
  </si>
  <si>
    <t>Early Running 2-Year Mean</t>
  </si>
  <si>
    <t>PDSI_OctDec_RunMean2</t>
  </si>
  <si>
    <t>Oct-Dec, mean(t,t-1)</t>
  </si>
  <si>
    <t>E1</t>
  </si>
  <si>
    <t>M2_Interactive_Lag3</t>
  </si>
  <si>
    <t>Fully Lagged Early × Late Interaction</t>
  </si>
  <si>
    <t>PDSI_OctDec_lag3 | PDSI_JanMar_lag3 | PDSI_Interact_lag3</t>
  </si>
  <si>
    <t>Oct-Dec + Jan-Mar + interaction, all t-3</t>
  </si>
  <si>
    <t>CRLF MARSS Model-Table Notes</t>
  </si>
  <si>
    <t>Primary selection metric</t>
  </si>
  <si>
    <t>AICc</t>
  </si>
  <si>
    <t>Why AICc?</t>
  </si>
  <si>
    <t>Site-specific climate responses add 14, 28, or 42 C parameters, so the small-sample correction is important.</t>
  </si>
  <si>
    <t>Primary candidate set</t>
  </si>
  <si>
    <t>PDSI_PRIMARY_HYPOTHESES_V1</t>
  </si>
  <si>
    <t>Exploratory set</t>
  </si>
  <si>
    <t>PDSI_EXPLORATORY_LEGACY_V1</t>
  </si>
  <si>
    <t>Do not combine weights</t>
  </si>
  <si>
    <t>ΔAICc and Akaike weights are calculated within Candidate_Set only.</t>
  </si>
  <si>
    <t>Current best model</t>
  </si>
  <si>
    <t>P0 / M0_Null</t>
  </si>
  <si>
    <t>Strongest climate model</t>
  </si>
  <si>
    <t>P2 / P2_Late_Current</t>
  </si>
  <si>
    <t>Interpretation caution</t>
  </si>
  <si>
    <t>A null-model AICc win does not prove PDSI has no biological effect; several climate models improve raw likelihood but pay a large complexity penalty.</t>
  </si>
  <si>
    <t>Exact manuscript values</t>
  </si>
  <si>
    <t>Use F:/CRLF_MARSS/marss_results/master_tables/master_model_selection.csv or run the supplied exact-table R script.</t>
  </si>
  <si>
    <t>Just Egg Mass Abundance</t>
  </si>
  <si>
    <t>Can annual egg-mass abundance be explained without PDSI?</t>
  </si>
  <si>
    <t>Does early-season (Oct–Dec) PDSI affect egg-mass abundance?</t>
  </si>
  <si>
    <t>Does late-season (Jan–Mar) PDSI affect egg-mass abundance?</t>
  </si>
  <si>
    <t>Do current and 3-year-lagged early season PDSI affect egg-mass abundance?</t>
  </si>
  <si>
    <t>Do current and 3-year-lagged late season PDSI affect egg-mass abundance?</t>
  </si>
  <si>
    <t>Do early and late season PDSI interact to affect egg-mass abundance?</t>
  </si>
  <si>
    <t>Does the 3-year mean of early season PDSI affect egg-mass abundance?</t>
  </si>
  <si>
    <t>Does the 3-year mean of late season PDSI affect egg-mass abundance?</t>
  </si>
  <si>
    <t>Do recent 3-year early season conditions and PDSI 3 years earlier affect egg-mass abundance?</t>
  </si>
  <si>
    <t>Do recent 3-year late season conditions and PDSI 3 years earlier affect egg-mass abundance?</t>
  </si>
  <si>
    <t>Best early season climate memory formulation.</t>
  </si>
  <si>
    <t>Two year mean Oct-Dec PDSI influences site specific CRLF egg-mass abundance dynamics.</t>
  </si>
  <si>
    <t>Early and late season PDSI conditions three years earlier, including their interaction, influence site specific CRLF egg-mass abundance 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</si>
</sst>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b/>
      <sz val="16"/>
      <color rgb="FFFFFFFF"/>
      <name val="Times New Roman"/>
      <family val="1"/>
    </font>
    <font>
      <i/>
      <sz val="11"/>
      <color rgb="FF203864"/>
      <name val="Times New Roman"/>
      <family val="1"/>
    </font>
    <font>
      <sz val="11"/>
      <name val="Times New Roman"/>
      <family val="1"/>
    </font>
    <font>
      <b/>
      <sz val="11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7F6000"/>
      </patternFill>
    </fill>
    <fill>
      <patternFill patternType="solid">
        <fgColor rgb="FF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1" fillId="8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" fillId="7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wrapText="1"/>
    </xf>
    <xf numFmtId="0" fontId="6" fillId="0" borderId="0" xfId="0" applyFont="1"/>
    <xf numFmtId="0" fontId="7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wrapText="1"/>
    </xf>
    <xf numFmtId="1" fontId="6" fillId="5" borderId="0" xfId="0" applyNumberFormat="1" applyFont="1" applyFill="1" applyAlignment="1">
      <alignment wrapText="1"/>
    </xf>
    <xf numFmtId="2" fontId="6" fillId="5" borderId="0" xfId="0" applyNumberFormat="1" applyFont="1" applyFill="1" applyAlignment="1">
      <alignment wrapText="1"/>
    </xf>
    <xf numFmtId="11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" fontId="6" fillId="6" borderId="0" xfId="0" applyNumberFormat="1" applyFont="1" applyFill="1" applyAlignment="1">
      <alignment wrapText="1"/>
    </xf>
    <xf numFmtId="2" fontId="6" fillId="6" borderId="0" xfId="0" applyNumberFormat="1" applyFont="1" applyFill="1" applyAlignment="1">
      <alignment wrapText="1"/>
    </xf>
    <xf numFmtId="11" fontId="6" fillId="6" borderId="0" xfId="0" applyNumberFormat="1" applyFont="1" applyFill="1" applyAlignment="1">
      <alignment wrapText="1"/>
    </xf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wrapText="1"/>
    </xf>
    <xf numFmtId="11" fontId="6" fillId="0" borderId="0" xfId="0" applyNumberFormat="1" applyFont="1" applyAlignment="1">
      <alignment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maryModelTable" displayName="PrimaryModelTable" ref="A4:M14" totalsRowShown="0" headerRowDxfId="1" dataDxfId="0">
  <tableColumns count="13">
    <tableColumn id="1" xr3:uid="{00000000-0010-0000-0000-000001000000}" name="AICc Rank" dataDxfId="14"/>
    <tableColumn id="2" xr3:uid="{00000000-0010-0000-0000-000002000000}" name="Model #" dataDxfId="13"/>
    <tableColumn id="3" xr3:uid="{00000000-0010-0000-0000-000003000000}" name="Model ID" dataDxfId="12"/>
    <tableColumn id="4" xr3:uid="{00000000-0010-0000-0000-000004000000}" name="Model Name" dataDxfId="11"/>
    <tableColumn id="5" xr3:uid="{00000000-0010-0000-0000-000005000000}" name="Covariate(s)" dataDxfId="10"/>
    <tableColumn id="6" xr3:uid="{00000000-0010-0000-0000-000006000000}" name="Climate / Time Structure" dataDxfId="9"/>
    <tableColumn id="7" xr3:uid="{00000000-0010-0000-0000-000007000000}" name="Hypothesis" dataDxfId="8"/>
    <tableColumn id="8" xr3:uid="{00000000-0010-0000-0000-000008000000}" name="K" dataDxfId="7"/>
    <tableColumn id="9" xr3:uid="{00000000-0010-0000-0000-000009000000}" name="AIC (rounded)" dataDxfId="6"/>
    <tableColumn id="10" xr3:uid="{00000000-0010-0000-0000-00000A000000}" name="AICc (rounded)" dataDxfId="5"/>
    <tableColumn id="11" xr3:uid="{00000000-0010-0000-0000-00000B000000}" name="ΔAICc" dataDxfId="4"/>
    <tableColumn id="12" xr3:uid="{00000000-0010-0000-0000-00000C000000}" name="AICc Weight" dataDxfId="3"/>
    <tableColumn id="13" xr3:uid="{00000000-0010-0000-0000-00000D000000}" name="Collaborator No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gacyModelTable" displayName="LegacyModelTable" ref="A4:L6" totalsRowShown="0">
  <tableColumns count="12">
    <tableColumn id="1" xr3:uid="{00000000-0010-0000-0100-000001000000}" name="AICc Rank"/>
    <tableColumn id="2" xr3:uid="{00000000-0010-0000-0100-000002000000}" name="Model #"/>
    <tableColumn id="3" xr3:uid="{00000000-0010-0000-0100-000003000000}" name="Model ID"/>
    <tableColumn id="4" xr3:uid="{00000000-0010-0000-0100-000004000000}" name="Model Name"/>
    <tableColumn id="5" xr3:uid="{00000000-0010-0000-0100-000005000000}" name="Covariate(s)"/>
    <tableColumn id="6" xr3:uid="{00000000-0010-0000-0100-000006000000}" name="Climate / Time Structure"/>
    <tableColumn id="7" xr3:uid="{00000000-0010-0000-0100-000007000000}" name="Hypothesis"/>
    <tableColumn id="8" xr3:uid="{00000000-0010-0000-0100-000008000000}" name="K"/>
    <tableColumn id="9" xr3:uid="{00000000-0010-0000-0100-000009000000}" name="AIC (rounded)"/>
    <tableColumn id="10" xr3:uid="{00000000-0010-0000-0100-00000A000000}" name="AICc (rounded)"/>
    <tableColumn id="11" xr3:uid="{00000000-0010-0000-0100-00000B000000}" name="ΔAICc"/>
    <tableColumn id="12" xr3:uid="{00000000-0010-0000-0100-00000C000000}" name="AICc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O21" sqref="O21"/>
    </sheetView>
  </sheetViews>
  <sheetFormatPr baseColWidth="10" defaultColWidth="8.83203125" defaultRowHeight="14"/>
  <cols>
    <col min="1" max="1" width="10" customWidth="1"/>
    <col min="2" max="2" width="9" customWidth="1"/>
    <col min="3" max="3" width="24" customWidth="1"/>
    <col min="4" max="4" width="32" customWidth="1"/>
    <col min="5" max="5" width="34" customWidth="1"/>
    <col min="6" max="6" width="30" customWidth="1"/>
    <col min="7" max="7" width="62" customWidth="1"/>
    <col min="8" max="8" width="8" customWidth="1"/>
    <col min="9" max="10" width="14" customWidth="1"/>
    <col min="11" max="11" width="12" customWidth="1"/>
    <col min="12" max="12" width="15" customWidth="1"/>
    <col min="13" max="13" width="42" customWidth="1"/>
  </cols>
  <sheetData>
    <row r="1" spans="1:13" ht="20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0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</row>
    <row r="5" spans="1:13" ht="15">
      <c r="A5" s="14">
        <v>1</v>
      </c>
      <c r="B5" s="14" t="s">
        <v>15</v>
      </c>
      <c r="C5" s="14" t="s">
        <v>16</v>
      </c>
      <c r="D5" s="14" t="s">
        <v>99</v>
      </c>
      <c r="E5" s="14" t="s">
        <v>17</v>
      </c>
      <c r="F5" s="14" t="s">
        <v>18</v>
      </c>
      <c r="G5" s="14" t="s">
        <v>100</v>
      </c>
      <c r="H5" s="15">
        <v>42</v>
      </c>
      <c r="I5" s="15">
        <v>948</v>
      </c>
      <c r="J5" s="15">
        <v>964</v>
      </c>
      <c r="K5" s="16">
        <v>0</v>
      </c>
      <c r="L5" s="17">
        <v>0.98499999999999999</v>
      </c>
      <c r="M5" s="14" t="s">
        <v>19</v>
      </c>
    </row>
    <row r="6" spans="1:13" ht="30">
      <c r="A6" s="18">
        <v>2</v>
      </c>
      <c r="B6" s="18" t="s">
        <v>20</v>
      </c>
      <c r="C6" s="18" t="s">
        <v>21</v>
      </c>
      <c r="D6" s="18" t="s">
        <v>22</v>
      </c>
      <c r="E6" s="18" t="s">
        <v>23</v>
      </c>
      <c r="F6" s="18" t="s">
        <v>24</v>
      </c>
      <c r="G6" s="18" t="s">
        <v>102</v>
      </c>
      <c r="H6" s="19">
        <v>56</v>
      </c>
      <c r="I6" s="19">
        <v>943</v>
      </c>
      <c r="J6" s="19">
        <v>972</v>
      </c>
      <c r="K6" s="20">
        <v>8.35</v>
      </c>
      <c r="L6" s="21">
        <v>1.5100000000000001E-2</v>
      </c>
      <c r="M6" s="18" t="s">
        <v>25</v>
      </c>
    </row>
    <row r="7" spans="1:13" ht="15">
      <c r="A7" s="22">
        <v>3</v>
      </c>
      <c r="B7" s="22" t="s">
        <v>26</v>
      </c>
      <c r="C7" s="22" t="s">
        <v>27</v>
      </c>
      <c r="D7" s="22" t="s">
        <v>28</v>
      </c>
      <c r="E7" s="22" t="s">
        <v>29</v>
      </c>
      <c r="F7" s="22" t="s">
        <v>30</v>
      </c>
      <c r="G7" s="12" t="s">
        <v>106</v>
      </c>
      <c r="H7" s="23">
        <v>56</v>
      </c>
      <c r="I7" s="23">
        <v>954</v>
      </c>
      <c r="J7" s="23">
        <v>984</v>
      </c>
      <c r="K7" s="24">
        <v>20.100000000000001</v>
      </c>
      <c r="L7" s="25">
        <v>4.35E-5</v>
      </c>
      <c r="M7" s="22" t="s">
        <v>110</v>
      </c>
    </row>
    <row r="8" spans="1:13" ht="15">
      <c r="A8" s="22">
        <v>4</v>
      </c>
      <c r="B8" s="22" t="s">
        <v>31</v>
      </c>
      <c r="C8" s="22" t="s">
        <v>32</v>
      </c>
      <c r="D8" s="22" t="s">
        <v>33</v>
      </c>
      <c r="E8" s="22" t="s">
        <v>34</v>
      </c>
      <c r="F8" s="22" t="s">
        <v>35</v>
      </c>
      <c r="G8" s="12" t="s">
        <v>107</v>
      </c>
      <c r="H8" s="23">
        <v>56</v>
      </c>
      <c r="I8" s="23">
        <v>964</v>
      </c>
      <c r="J8" s="23">
        <v>994</v>
      </c>
      <c r="K8" s="24">
        <v>30.2</v>
      </c>
      <c r="L8" s="25">
        <v>2.7700000000000001E-7</v>
      </c>
      <c r="M8" s="22"/>
    </row>
    <row r="9" spans="1:13" ht="15">
      <c r="A9" s="22">
        <v>5</v>
      </c>
      <c r="B9" s="22" t="s">
        <v>36</v>
      </c>
      <c r="C9" s="22" t="s">
        <v>37</v>
      </c>
      <c r="D9" s="22" t="s">
        <v>38</v>
      </c>
      <c r="E9" s="22" t="s">
        <v>39</v>
      </c>
      <c r="F9" s="22" t="s">
        <v>40</v>
      </c>
      <c r="G9" s="12" t="s">
        <v>101</v>
      </c>
      <c r="H9" s="23">
        <v>56</v>
      </c>
      <c r="I9" s="23">
        <v>967</v>
      </c>
      <c r="J9" s="23">
        <v>996</v>
      </c>
      <c r="K9" s="24">
        <v>32.5</v>
      </c>
      <c r="L9" s="25">
        <v>8.6099999999999997E-8</v>
      </c>
      <c r="M9" s="22"/>
    </row>
    <row r="10" spans="1:13" ht="30">
      <c r="A10" s="22">
        <v>6</v>
      </c>
      <c r="B10" s="22" t="s">
        <v>41</v>
      </c>
      <c r="C10" s="22" t="s">
        <v>42</v>
      </c>
      <c r="D10" s="22" t="s">
        <v>43</v>
      </c>
      <c r="E10" s="22" t="s">
        <v>44</v>
      </c>
      <c r="F10" s="22" t="s">
        <v>45</v>
      </c>
      <c r="G10" s="12" t="s">
        <v>104</v>
      </c>
      <c r="H10" s="23">
        <v>70</v>
      </c>
      <c r="I10" s="23">
        <v>948</v>
      </c>
      <c r="J10" s="23">
        <v>997</v>
      </c>
      <c r="K10" s="24">
        <v>33.299999999999997</v>
      </c>
      <c r="L10" s="25">
        <v>5.6500000000000003E-8</v>
      </c>
      <c r="M10" s="22" t="s">
        <v>46</v>
      </c>
    </row>
    <row r="11" spans="1:13" ht="30">
      <c r="A11" s="22">
        <v>7</v>
      </c>
      <c r="B11" s="22" t="s">
        <v>47</v>
      </c>
      <c r="C11" s="22" t="s">
        <v>48</v>
      </c>
      <c r="D11" s="22" t="s">
        <v>49</v>
      </c>
      <c r="E11" s="22" t="s">
        <v>50</v>
      </c>
      <c r="F11" s="22" t="s">
        <v>51</v>
      </c>
      <c r="G11" s="12" t="s">
        <v>108</v>
      </c>
      <c r="H11" s="23">
        <v>70</v>
      </c>
      <c r="I11" s="23">
        <v>967</v>
      </c>
      <c r="J11" s="23">
        <v>1016</v>
      </c>
      <c r="K11" s="24">
        <v>52.1</v>
      </c>
      <c r="L11" s="25">
        <v>4.7200000000000001E-12</v>
      </c>
      <c r="M11" s="22"/>
    </row>
    <row r="12" spans="1:13" ht="30">
      <c r="A12" s="22">
        <v>8</v>
      </c>
      <c r="B12" s="22" t="s">
        <v>52</v>
      </c>
      <c r="C12" s="22" t="s">
        <v>53</v>
      </c>
      <c r="D12" s="22" t="s">
        <v>54</v>
      </c>
      <c r="E12" s="22" t="s">
        <v>55</v>
      </c>
      <c r="F12" s="22" t="s">
        <v>56</v>
      </c>
      <c r="G12" s="12" t="s">
        <v>109</v>
      </c>
      <c r="H12" s="23">
        <v>70</v>
      </c>
      <c r="I12" s="23">
        <v>973</v>
      </c>
      <c r="J12" s="23">
        <v>1022</v>
      </c>
      <c r="K12" s="24">
        <v>58.6</v>
      </c>
      <c r="L12" s="25">
        <v>1.9E-13</v>
      </c>
      <c r="M12" s="22"/>
    </row>
    <row r="13" spans="1:13" ht="30">
      <c r="A13" s="22">
        <v>9</v>
      </c>
      <c r="B13" s="22" t="s">
        <v>57</v>
      </c>
      <c r="C13" s="22" t="s">
        <v>58</v>
      </c>
      <c r="D13" s="22" t="s">
        <v>59</v>
      </c>
      <c r="E13" s="22" t="s">
        <v>60</v>
      </c>
      <c r="F13" s="22" t="s">
        <v>61</v>
      </c>
      <c r="G13" s="12" t="s">
        <v>103</v>
      </c>
      <c r="H13" s="23">
        <v>70</v>
      </c>
      <c r="I13" s="23">
        <v>979</v>
      </c>
      <c r="J13" s="23">
        <v>1029</v>
      </c>
      <c r="K13" s="24">
        <v>65</v>
      </c>
      <c r="L13" s="25">
        <v>7.62E-15</v>
      </c>
      <c r="M13" s="22"/>
    </row>
    <row r="14" spans="1:13" ht="30">
      <c r="A14" s="22">
        <v>10</v>
      </c>
      <c r="B14" s="22" t="s">
        <v>62</v>
      </c>
      <c r="C14" s="22" t="s">
        <v>63</v>
      </c>
      <c r="D14" s="22" t="s">
        <v>64</v>
      </c>
      <c r="E14" s="22" t="s">
        <v>65</v>
      </c>
      <c r="F14" s="22" t="s">
        <v>66</v>
      </c>
      <c r="G14" s="12" t="s">
        <v>105</v>
      </c>
      <c r="H14" s="23">
        <v>84</v>
      </c>
      <c r="I14" s="23">
        <v>959</v>
      </c>
      <c r="J14" s="23">
        <v>1034</v>
      </c>
      <c r="K14" s="24">
        <v>70.8</v>
      </c>
      <c r="L14" s="25">
        <v>4.2099999999999999E-16</v>
      </c>
      <c r="M14" s="22" t="s">
        <v>67</v>
      </c>
    </row>
  </sheetData>
  <mergeCells count="2">
    <mergeCell ref="A1:M1"/>
    <mergeCell ref="A2:M2"/>
  </mergeCells>
  <conditionalFormatting sqref="K5:K1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E16" sqref="E16"/>
    </sheetView>
  </sheetViews>
  <sheetFormatPr baseColWidth="10" defaultColWidth="8.83203125" defaultRowHeight="14"/>
  <cols>
    <col min="1" max="1" width="10" customWidth="1"/>
    <col min="2" max="2" width="9" customWidth="1"/>
    <col min="3" max="3" width="24" customWidth="1"/>
    <col min="4" max="4" width="34" customWidth="1"/>
    <col min="5" max="5" width="42" customWidth="1"/>
    <col min="6" max="6" width="32" customWidth="1"/>
    <col min="7" max="7" width="60" customWidth="1"/>
    <col min="8" max="8" width="8" customWidth="1"/>
    <col min="9" max="10" width="14" customWidth="1"/>
    <col min="11" max="11" width="12" customWidth="1"/>
    <col min="12" max="12" width="15" customWidth="1"/>
  </cols>
  <sheetData>
    <row r="1" spans="1:12" ht="19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7" t="s">
        <v>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3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ht="30">
      <c r="A5" s="1">
        <v>1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111</v>
      </c>
      <c r="H5" s="1">
        <v>56</v>
      </c>
      <c r="I5" s="1">
        <v>967</v>
      </c>
      <c r="J5" s="1">
        <v>996</v>
      </c>
      <c r="K5" s="2">
        <v>0</v>
      </c>
      <c r="L5" s="3">
        <v>1</v>
      </c>
    </row>
    <row r="6" spans="1:12" ht="30">
      <c r="A6" s="1">
        <v>2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112</v>
      </c>
      <c r="H6" s="1">
        <v>84</v>
      </c>
      <c r="I6" s="1">
        <v>989</v>
      </c>
      <c r="J6" s="1">
        <v>1065</v>
      </c>
      <c r="K6" s="2">
        <v>69.099999999999994</v>
      </c>
      <c r="L6" s="3">
        <v>9.649999999999999E-16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"/>
    </sheetView>
  </sheetViews>
  <sheetFormatPr baseColWidth="10" defaultColWidth="8.83203125" defaultRowHeight="14"/>
  <cols>
    <col min="1" max="1" width="28" customWidth="1"/>
    <col min="2" max="2" width="85" customWidth="1"/>
  </cols>
  <sheetData>
    <row r="1" spans="1:2" ht="15">
      <c r="A1" s="8" t="s">
        <v>80</v>
      </c>
      <c r="B1" s="9"/>
    </row>
    <row r="2" spans="1:2">
      <c r="A2" s="1"/>
      <c r="B2" s="1"/>
    </row>
    <row r="3" spans="1:2" ht="16">
      <c r="A3" s="5" t="s">
        <v>81</v>
      </c>
      <c r="B3" s="1" t="s">
        <v>82</v>
      </c>
    </row>
    <row r="4" spans="1:2" ht="31">
      <c r="A4" s="5" t="s">
        <v>83</v>
      </c>
      <c r="B4" s="1" t="s">
        <v>84</v>
      </c>
    </row>
    <row r="5" spans="1:2" ht="16">
      <c r="A5" s="5" t="s">
        <v>85</v>
      </c>
      <c r="B5" s="1" t="s">
        <v>86</v>
      </c>
    </row>
    <row r="6" spans="1:2" ht="16">
      <c r="A6" s="5" t="s">
        <v>87</v>
      </c>
      <c r="B6" s="1" t="s">
        <v>88</v>
      </c>
    </row>
    <row r="7" spans="1:2" ht="16">
      <c r="A7" s="5" t="s">
        <v>89</v>
      </c>
      <c r="B7" s="1" t="s">
        <v>90</v>
      </c>
    </row>
    <row r="8" spans="1:2" ht="16">
      <c r="A8" s="5" t="s">
        <v>91</v>
      </c>
      <c r="B8" s="1" t="s">
        <v>92</v>
      </c>
    </row>
    <row r="9" spans="1:2" ht="16">
      <c r="A9" s="5" t="s">
        <v>93</v>
      </c>
      <c r="B9" s="1" t="s">
        <v>94</v>
      </c>
    </row>
    <row r="10" spans="1:2" ht="31">
      <c r="A10" s="5" t="s">
        <v>95</v>
      </c>
      <c r="B10" s="1" t="s">
        <v>96</v>
      </c>
    </row>
    <row r="11" spans="1:2" ht="31">
      <c r="A11" s="5" t="s">
        <v>97</v>
      </c>
      <c r="B11" s="1" t="s">
        <v>98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Models</vt:lpstr>
      <vt:lpstr>Exploratory Legacy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Trochez</cp:lastModifiedBy>
  <dcterms:modified xsi:type="dcterms:W3CDTF">2026-08-12T18:47:56Z</dcterms:modified>
</cp:coreProperties>
</file>